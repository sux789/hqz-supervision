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40" windowHeight="14260"/>
  </bookViews>
  <sheets>
    <sheet name="2023年度退化林" sheetId="1" r:id="rId1"/>
    <sheet name="2023年度人工造林" sheetId="2" r:id="rId2"/>
    <sheet name="2023年度封山育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AR3" authorId="0">
      <text>
        <r>
          <rPr>
            <sz val="10"/>
            <rFont val="宋体"/>
            <charset val="134"/>
          </rPr>
          <t xml:space="preserve">lenovo:
新增
</t>
        </r>
      </text>
    </comment>
    <comment ref="AV3" authorId="0">
      <text>
        <r>
          <rPr>
            <sz val="10"/>
            <rFont val="宋体"/>
            <charset val="134"/>
          </rPr>
          <t xml:space="preserve">lenovo新增固定数值
</t>
        </r>
      </text>
    </comment>
    <comment ref="AR4" authorId="0">
      <text>
        <r>
          <rPr>
            <sz val="10"/>
            <rFont val="宋体"/>
            <charset val="134"/>
          </rPr>
          <t xml:space="preserve">lenovo:
等于样地调查表的   
调查总株数
</t>
        </r>
      </text>
    </comment>
    <comment ref="AS4" authorId="0">
      <text>
        <r>
          <rPr>
            <sz val="10"/>
            <rFont val="宋体"/>
            <charset val="134"/>
          </rPr>
          <t xml:space="preserve">lenovo:
等于小班查数株树乘以合格率
</t>
        </r>
      </text>
    </comment>
    <comment ref="AT4" authorId="0">
      <text>
        <r>
          <rPr>
            <sz val="10"/>
            <rFont val="宋体"/>
            <charset val="134"/>
          </rPr>
          <t xml:space="preserve">lenovo:
等于样地调查成活率
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AN3" authorId="0">
      <text>
        <r>
          <rPr>
            <sz val="10"/>
            <rFont val="宋体"/>
            <charset val="134"/>
          </rPr>
          <t xml:space="preserve">lenovo:
新增
</t>
        </r>
      </text>
    </comment>
    <comment ref="AR3" authorId="0">
      <text>
        <r>
          <rPr>
            <sz val="10"/>
            <rFont val="宋体"/>
            <charset val="134"/>
          </rPr>
          <t xml:space="preserve">lenovo新增固定数值
</t>
        </r>
      </text>
    </comment>
    <comment ref="O4" authorId="0">
      <text>
        <r>
          <rPr>
            <sz val="10"/>
            <rFont val="宋体"/>
            <charset val="134"/>
          </rPr>
          <t>lenovo:
根据合格率区间值等于合格率数据，90%以上为合格，41%-90%是待补植，40及40%一下为失败，看AP5数据</t>
        </r>
      </text>
    </comment>
    <comment ref="P4" authorId="0">
      <text>
        <r>
          <rPr>
            <sz val="10"/>
            <rFont val="宋体"/>
            <charset val="134"/>
          </rPr>
          <t xml:space="preserve">lenovo:
根据合格率区间值等于合格率数据，90%以上为合格，41%-90%是待补植，40及40%一下为失败，看AP5数据
</t>
        </r>
      </text>
    </comment>
    <comment ref="Q4" authorId="0">
      <text>
        <r>
          <rPr>
            <sz val="10"/>
            <rFont val="宋体"/>
            <charset val="134"/>
          </rPr>
          <t xml:space="preserve">lenovo:
根据合格率区间值等于合格率数据，90%以上为合格，41%-90%是待补植，40及40%一下为失败，看AP5数据
</t>
        </r>
      </text>
    </comment>
    <comment ref="S4" authorId="0">
      <text>
        <r>
          <rPr>
            <sz val="10"/>
            <rFont val="宋体"/>
            <charset val="134"/>
          </rPr>
          <t xml:space="preserve">lenovo:
在成活率大于等于90%以上自动等于N列
</t>
        </r>
      </text>
    </comment>
    <comment ref="AE4" authorId="0">
      <text>
        <r>
          <rPr>
            <sz val="10"/>
            <rFont val="宋体"/>
            <charset val="134"/>
          </rPr>
          <t>lenovo:默认为有</t>
        </r>
      </text>
    </comment>
    <comment ref="AF4" authorId="0">
      <text>
        <r>
          <rPr>
            <sz val="10"/>
            <rFont val="宋体"/>
            <charset val="134"/>
          </rPr>
          <t xml:space="preserve">lenovo:
在成活率大于等于90%以上自动等于N列
</t>
        </r>
      </text>
    </comment>
    <comment ref="AH4" authorId="0">
      <text>
        <r>
          <rPr>
            <sz val="10"/>
            <rFont val="宋体"/>
            <charset val="134"/>
          </rPr>
          <t xml:space="preserve">lenovo:
在成活率大于等于90%以上自动等于N列
</t>
        </r>
      </text>
    </comment>
    <comment ref="AL4" authorId="0">
      <text>
        <r>
          <rPr>
            <sz val="10"/>
            <rFont val="宋体"/>
            <charset val="134"/>
          </rPr>
          <t xml:space="preserve">lenovo:
在成活率大于等于90%以上自动等于N列
</t>
        </r>
      </text>
    </comment>
    <comment ref="AN4" authorId="0">
      <text>
        <r>
          <rPr>
            <sz val="10"/>
            <rFont val="宋体"/>
            <charset val="134"/>
          </rPr>
          <t xml:space="preserve">lenovo:
等于样地调查表的   
调查总株数
</t>
        </r>
      </text>
    </comment>
    <comment ref="AO4" authorId="0">
      <text>
        <r>
          <rPr>
            <sz val="10"/>
            <rFont val="宋体"/>
            <charset val="134"/>
          </rPr>
          <t xml:space="preserve">lenovo:
等于小班查数株树乘以合格率
</t>
        </r>
      </text>
    </comment>
    <comment ref="AP4" authorId="0">
      <text>
        <r>
          <rPr>
            <sz val="10"/>
            <rFont val="宋体"/>
            <charset val="134"/>
          </rPr>
          <t xml:space="preserve">lenovo:
等于样地调查成活率
</t>
        </r>
      </text>
    </comment>
  </commentList>
</comments>
</file>

<file path=xl/comments3.xml><?xml version="1.0" encoding="utf-8"?>
<comments xmlns="http://schemas.openxmlformats.org/spreadsheetml/2006/main">
  <authors>
    <author>lenovo</author>
  </authors>
  <commentList>
    <comment ref="BE3" authorId="0">
      <text>
        <r>
          <rPr>
            <sz val="10"/>
            <rFont val="宋体"/>
            <charset val="134"/>
          </rPr>
          <t xml:space="preserve">lenovo:
新增
</t>
        </r>
      </text>
    </comment>
    <comment ref="BI3" authorId="0">
      <text>
        <r>
          <rPr>
            <sz val="10"/>
            <rFont val="宋体"/>
            <charset val="134"/>
          </rPr>
          <t xml:space="preserve">lenovo新增固定数值
</t>
        </r>
      </text>
    </comment>
    <comment ref="BE4" authorId="0">
      <text>
        <r>
          <rPr>
            <sz val="10"/>
            <rFont val="宋体"/>
            <charset val="134"/>
          </rPr>
          <t xml:space="preserve">lenovo:
等于样地调查表的   
调查总株数
</t>
        </r>
      </text>
    </comment>
    <comment ref="BF4" authorId="0">
      <text>
        <r>
          <rPr>
            <sz val="10"/>
            <rFont val="宋体"/>
            <charset val="134"/>
          </rPr>
          <t xml:space="preserve">lenovo:
等于小班查数株树乘以合格率
</t>
        </r>
      </text>
    </comment>
    <comment ref="BG4" authorId="0">
      <text>
        <r>
          <rPr>
            <sz val="10"/>
            <rFont val="宋体"/>
            <charset val="134"/>
          </rPr>
          <t xml:space="preserve">lenovo:
等于样地调查成活率
</t>
        </r>
      </text>
    </comment>
  </commentList>
</comments>
</file>

<file path=xl/sharedStrings.xml><?xml version="1.0" encoding="utf-8"?>
<sst xmlns="http://schemas.openxmlformats.org/spreadsheetml/2006/main" count="268" uniqueCount="115">
  <si>
    <t>退化林修复小班质量因子表</t>
  </si>
  <si>
    <t>表3</t>
  </si>
  <si>
    <t>单位：亩、株/亩、%、m、m2</t>
  </si>
  <si>
    <t>市</t>
  </si>
  <si>
    <t>调查小班号</t>
  </si>
  <si>
    <t>县</t>
  </si>
  <si>
    <t>乡</t>
  </si>
  <si>
    <t>村</t>
  </si>
  <si>
    <t>林班</t>
  </si>
  <si>
    <t>小班</t>
  </si>
  <si>
    <t>验收类别</t>
  </si>
  <si>
    <t>项目名称</t>
  </si>
  <si>
    <t>计划年度</t>
  </si>
  <si>
    <t>作业年度</t>
  </si>
  <si>
    <t>林地所有权</t>
  </si>
  <si>
    <t>造林树种</t>
  </si>
  <si>
    <t>上报面积</t>
  </si>
  <si>
    <t>补植面积</t>
  </si>
  <si>
    <t>成活率面积(%)</t>
  </si>
  <si>
    <t>核实面积(亩)</t>
  </si>
  <si>
    <t>面积核实不足原因</t>
  </si>
  <si>
    <t>造林不合格原因</t>
  </si>
  <si>
    <t>损失原因</t>
  </si>
  <si>
    <t>修复措施</t>
  </si>
  <si>
    <t>修复方式</t>
  </si>
  <si>
    <t>辅助措施</t>
  </si>
  <si>
    <t>管理情况</t>
  </si>
  <si>
    <t>按作业设计施工率</t>
  </si>
  <si>
    <t>建档率</t>
  </si>
  <si>
    <t>管护率</t>
  </si>
  <si>
    <t>抚育率</t>
  </si>
  <si>
    <t>苗木合格率</t>
  </si>
  <si>
    <t>苗木符合率</t>
  </si>
  <si>
    <t>小班设计株树</t>
  </si>
  <si>
    <t>验收人员</t>
  </si>
  <si>
    <t>验收人员（手写签字）</t>
  </si>
  <si>
    <t>验收时间（选填）</t>
  </si>
  <si>
    <t>备注</t>
  </si>
  <si>
    <t>配合验收人员（手写签字）</t>
  </si>
  <si>
    <t>配合验收人员2（手写签字）</t>
  </si>
  <si>
    <t>配合验收人员3（手写签字）</t>
  </si>
  <si>
    <t>配合验收人员4（手写签字）</t>
  </si>
  <si>
    <t>配合验收人员5（手写签字）</t>
  </si>
  <si>
    <t>打卡</t>
  </si>
  <si>
    <t>轨迹</t>
  </si>
  <si>
    <t>小班照片</t>
  </si>
  <si>
    <t>合格</t>
  </si>
  <si>
    <t>待补植</t>
  </si>
  <si>
    <t>失败</t>
  </si>
  <si>
    <t>计</t>
  </si>
  <si>
    <t>合格面积</t>
  </si>
  <si>
    <t>待补植面积</t>
  </si>
  <si>
    <t>失败面积</t>
  </si>
  <si>
    <t>损失面积</t>
  </si>
  <si>
    <t>作业设计</t>
  </si>
  <si>
    <t>会议纪要</t>
  </si>
  <si>
    <t>讲话记录</t>
  </si>
  <si>
    <t>调研报告</t>
  </si>
  <si>
    <t>监理报告</t>
  </si>
  <si>
    <t>图片</t>
  </si>
  <si>
    <t>符合设计的施工面积</t>
  </si>
  <si>
    <t>建档面积</t>
  </si>
  <si>
    <t>管护面积</t>
  </si>
  <si>
    <t>抚育面积</t>
  </si>
  <si>
    <t>小班查数株数</t>
  </si>
  <si>
    <t>合格株树</t>
  </si>
  <si>
    <t>合格率</t>
  </si>
  <si>
    <t>坐标x</t>
  </si>
  <si>
    <t>坐标y</t>
  </si>
  <si>
    <t>玉溪市</t>
  </si>
  <si>
    <t>华宁县</t>
  </si>
  <si>
    <t>东山林场</t>
  </si>
  <si>
    <t>市级</t>
  </si>
  <si>
    <t>玉溪市滇中山地石漠化综合治理项目(2023 年度)</t>
  </si>
  <si>
    <t>国有</t>
  </si>
  <si>
    <t>抚育修复</t>
  </si>
  <si>
    <t>促进复壮</t>
  </si>
  <si>
    <t>人工造林小班质量因子表</t>
  </si>
  <si>
    <t xml:space="preserve">表1 </t>
  </si>
  <si>
    <t>单位：亩、%、株</t>
  </si>
  <si>
    <t>成活率等级(%)</t>
  </si>
  <si>
    <t>东山</t>
  </si>
  <si>
    <t>集体</t>
  </si>
  <si>
    <t>6云南松4麻栎</t>
  </si>
  <si>
    <t>有</t>
  </si>
  <si>
    <t xml:space="preserve"> 封山育林小班封育条件质量因子表</t>
  </si>
  <si>
    <t>表2</t>
  </si>
  <si>
    <t>单位：亩、株/亩、%</t>
  </si>
  <si>
    <t>始封年度</t>
  </si>
  <si>
    <t>封育对象</t>
  </si>
  <si>
    <t>封育年限</t>
  </si>
  <si>
    <t>封育类型</t>
  </si>
  <si>
    <t>封育方式</t>
  </si>
  <si>
    <t>封育措施</t>
  </si>
  <si>
    <t>育林措施</t>
  </si>
  <si>
    <t>优势树种</t>
  </si>
  <si>
    <t>封前地类</t>
  </si>
  <si>
    <t>现地类</t>
  </si>
  <si>
    <t>郁闭度</t>
  </si>
  <si>
    <t>针叶树      (每亩株数)</t>
  </si>
  <si>
    <t>阔叶树        (每亩株数)</t>
  </si>
  <si>
    <t>乔木根株或毛竹(每亩株数)</t>
  </si>
  <si>
    <t>母树</t>
  </si>
  <si>
    <t>幼苗</t>
  </si>
  <si>
    <t>幼树</t>
  </si>
  <si>
    <t>澄江市</t>
  </si>
  <si>
    <t>凤麓街道</t>
  </si>
  <si>
    <t>澄波</t>
  </si>
  <si>
    <t>乔木林地</t>
  </si>
  <si>
    <t>乔木型</t>
  </si>
  <si>
    <t>全封</t>
  </si>
  <si>
    <t>标志牌+巡护+补植</t>
  </si>
  <si>
    <t>补植</t>
  </si>
  <si>
    <t>10黄连木</t>
  </si>
  <si>
    <t>10云南松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</si>
</sst>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40">
    <font>
      <sz val="12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  <scheme val="minor"/>
    </font>
    <font>
      <sz val="9"/>
      <color rgb="FF000000"/>
      <name val="宋体"/>
      <charset val="134"/>
      <scheme val="minor"/>
    </font>
    <font>
      <sz val="8"/>
      <color rgb="FF000000"/>
      <name val="宋体"/>
      <charset val="134"/>
      <scheme val="minor"/>
    </font>
    <font>
      <sz val="8"/>
      <color rgb="FF000000"/>
      <name val="宋体"/>
      <charset val="134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sz val="8"/>
      <name val="宋体"/>
      <charset val="134"/>
      <scheme val="minor"/>
    </font>
    <font>
      <b/>
      <sz val="14"/>
      <color theme="1"/>
      <name val="宋体"/>
      <charset val="134"/>
    </font>
    <font>
      <b/>
      <sz val="14"/>
      <color theme="1"/>
      <name val="Times New Roman"/>
      <charset val="1"/>
    </font>
    <font>
      <sz val="11"/>
      <color theme="1"/>
      <name val="Times New Roman"/>
      <charset val="1"/>
    </font>
    <font>
      <sz val="9"/>
      <color theme="1"/>
      <name val="宋体"/>
      <charset val="134"/>
    </font>
    <font>
      <sz val="9"/>
      <color theme="1"/>
      <name val="Times New Roman"/>
      <charset val="1"/>
    </font>
    <font>
      <sz val="9"/>
      <color rgb="FF000000"/>
      <name val="宋体"/>
      <charset val="134"/>
    </font>
    <font>
      <sz val="9"/>
      <color rgb="FF000000"/>
      <name val="Times New Roman"/>
      <charset val="1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3" borderId="9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10">
      <alignment vertical="center"/>
    </xf>
    <xf numFmtId="0" fontId="26" fillId="0" borderId="10">
      <alignment vertical="center"/>
    </xf>
    <xf numFmtId="0" fontId="27" fillId="0" borderId="11">
      <alignment vertical="center"/>
    </xf>
    <xf numFmtId="0" fontId="27" fillId="0" borderId="0">
      <alignment vertical="center"/>
    </xf>
    <xf numFmtId="0" fontId="28" fillId="4" borderId="12">
      <alignment vertical="center"/>
    </xf>
    <xf numFmtId="0" fontId="29" fillId="5" borderId="13">
      <alignment vertical="center"/>
    </xf>
    <xf numFmtId="0" fontId="30" fillId="5" borderId="12">
      <alignment vertical="center"/>
    </xf>
    <xf numFmtId="0" fontId="31" fillId="6" borderId="14">
      <alignment vertical="center"/>
    </xf>
    <xf numFmtId="0" fontId="32" fillId="0" borderId="15">
      <alignment vertical="center"/>
    </xf>
    <xf numFmtId="0" fontId="33" fillId="0" borderId="16">
      <alignment vertical="center"/>
    </xf>
    <xf numFmtId="0" fontId="34" fillId="7" borderId="0">
      <alignment vertical="center"/>
    </xf>
    <xf numFmtId="0" fontId="35" fillId="8" borderId="0">
      <alignment vertical="center"/>
    </xf>
    <xf numFmtId="0" fontId="36" fillId="9" borderId="0">
      <alignment vertical="center"/>
    </xf>
    <xf numFmtId="0" fontId="37" fillId="10" borderId="0">
      <alignment vertical="center"/>
    </xf>
    <xf numFmtId="0" fontId="38" fillId="11" borderId="0">
      <alignment vertical="center"/>
    </xf>
    <xf numFmtId="0" fontId="38" fillId="12" borderId="0">
      <alignment vertical="center"/>
    </xf>
    <xf numFmtId="0" fontId="37" fillId="13" borderId="0">
      <alignment vertical="center"/>
    </xf>
    <xf numFmtId="0" fontId="37" fillId="14" borderId="0">
      <alignment vertical="center"/>
    </xf>
    <xf numFmtId="0" fontId="38" fillId="15" borderId="0">
      <alignment vertical="center"/>
    </xf>
    <xf numFmtId="0" fontId="38" fillId="16" borderId="0">
      <alignment vertical="center"/>
    </xf>
    <xf numFmtId="0" fontId="37" fillId="17" borderId="0">
      <alignment vertical="center"/>
    </xf>
    <xf numFmtId="0" fontId="37" fillId="18" borderId="0">
      <alignment vertical="center"/>
    </xf>
    <xf numFmtId="0" fontId="38" fillId="19" borderId="0">
      <alignment vertical="center"/>
    </xf>
    <xf numFmtId="0" fontId="38" fillId="20" borderId="0">
      <alignment vertical="center"/>
    </xf>
    <xf numFmtId="0" fontId="37" fillId="21" borderId="0">
      <alignment vertical="center"/>
    </xf>
    <xf numFmtId="0" fontId="37" fillId="2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</cellStyleXfs>
  <cellXfs count="8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Fill="1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0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12E92C14-2CEB-C0A5-449C-9B6A261FB71B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"/>
  <sheetViews>
    <sheetView tabSelected="1" zoomScale="70" zoomScaleNormal="70" topLeftCell="AB1" workbookViewId="0">
      <selection activeCell="AU5" sqref="AU5"/>
    </sheetView>
  </sheetViews>
  <sheetFormatPr defaultColWidth="9" defaultRowHeight="17.6" outlineLevelRow="4"/>
  <cols>
    <col min="1" max="15" width="9" style="34" customWidth="1"/>
    <col min="27" max="29" width="9" style="34" customWidth="1"/>
    <col min="48" max="48" width="9" style="34" customWidth="1"/>
    <col min="49" max="49" width="9" style="35" customWidth="1"/>
    <col min="54" max="57" width="8.47321428571429" style="36" customWidth="1"/>
  </cols>
  <sheetData>
    <row r="1" customFormat="1" ht="20.4" customHeight="1" spans="1:61">
      <c r="A1" s="60" t="s">
        <v>0</v>
      </c>
      <c r="AR1" s="61"/>
      <c r="AS1" s="61"/>
      <c r="AT1" s="61"/>
      <c r="AU1" s="61"/>
      <c r="AV1" s="61"/>
      <c r="AW1" s="62"/>
      <c r="AX1" s="63"/>
      <c r="AY1" s="63"/>
      <c r="AZ1" s="63"/>
      <c r="BA1" s="63"/>
      <c r="BB1" s="36"/>
      <c r="BC1" s="36"/>
      <c r="BD1" s="36"/>
      <c r="BE1" s="36"/>
      <c r="BF1" s="63"/>
      <c r="BG1" s="63"/>
      <c r="BH1" s="63"/>
      <c r="BI1" s="63"/>
    </row>
    <row r="2" spans="1:61">
      <c r="A2" s="64" t="s">
        <v>1</v>
      </c>
      <c r="D2" s="65"/>
      <c r="E2" s="65"/>
      <c r="F2" s="65"/>
      <c r="G2" s="65"/>
      <c r="H2" s="65"/>
      <c r="I2" s="66"/>
      <c r="J2" s="65"/>
      <c r="K2" s="65"/>
      <c r="L2" s="65"/>
      <c r="M2" s="65"/>
      <c r="N2" s="65"/>
      <c r="O2" s="65"/>
      <c r="P2" s="67"/>
      <c r="Q2" s="67"/>
      <c r="R2" s="67"/>
      <c r="S2" s="67"/>
      <c r="T2" s="67"/>
      <c r="U2" s="67"/>
      <c r="V2" s="67"/>
      <c r="W2" s="67"/>
      <c r="X2" s="67"/>
      <c r="Y2" s="67"/>
      <c r="Z2" s="68"/>
      <c r="AA2" s="65"/>
      <c r="AB2" s="65"/>
      <c r="AC2" s="65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 t="s">
        <v>2</v>
      </c>
      <c r="AQ2" s="69"/>
      <c r="AR2" s="67"/>
      <c r="AS2" s="67"/>
      <c r="AT2" s="67"/>
      <c r="AU2" s="67"/>
      <c r="AV2" s="65"/>
      <c r="AW2" s="70"/>
      <c r="AX2" s="67"/>
      <c r="AY2" s="67"/>
      <c r="AZ2" s="67"/>
      <c r="BA2" s="67"/>
      <c r="BB2" s="42"/>
      <c r="BC2" s="42"/>
      <c r="BD2" s="42"/>
      <c r="BE2" s="42"/>
      <c r="BF2" s="67"/>
      <c r="BG2" s="67"/>
      <c r="BH2" s="67"/>
      <c r="BI2" s="67"/>
    </row>
    <row r="3" spans="1:61">
      <c r="A3" s="71" t="s">
        <v>3</v>
      </c>
      <c r="B3" s="72" t="s">
        <v>4</v>
      </c>
      <c r="C3" s="71" t="s">
        <v>5</v>
      </c>
      <c r="D3" s="73" t="s">
        <v>6</v>
      </c>
      <c r="E3" s="73" t="s">
        <v>7</v>
      </c>
      <c r="F3" s="73" t="s">
        <v>8</v>
      </c>
      <c r="G3" s="73" t="s">
        <v>9</v>
      </c>
      <c r="H3" s="73" t="s">
        <v>10</v>
      </c>
      <c r="I3" s="73" t="s">
        <v>11</v>
      </c>
      <c r="J3" s="73" t="s">
        <v>12</v>
      </c>
      <c r="K3" s="73" t="s">
        <v>13</v>
      </c>
      <c r="L3" s="73" t="s">
        <v>14</v>
      </c>
      <c r="M3" s="73" t="s">
        <v>15</v>
      </c>
      <c r="N3" s="73" t="s">
        <v>16</v>
      </c>
      <c r="O3" s="73" t="s">
        <v>17</v>
      </c>
      <c r="P3" s="12" t="s">
        <v>18</v>
      </c>
      <c r="Q3" s="13"/>
      <c r="R3" s="14"/>
      <c r="S3" s="12" t="s">
        <v>19</v>
      </c>
      <c r="T3" s="13"/>
      <c r="U3" s="13"/>
      <c r="V3" s="13"/>
      <c r="W3" s="14"/>
      <c r="X3" s="25" t="s">
        <v>20</v>
      </c>
      <c r="Y3" s="25" t="s">
        <v>21</v>
      </c>
      <c r="Z3" s="25" t="s">
        <v>22</v>
      </c>
      <c r="AA3" s="11" t="s">
        <v>23</v>
      </c>
      <c r="AB3" s="11" t="s">
        <v>24</v>
      </c>
      <c r="AC3" s="11" t="s">
        <v>25</v>
      </c>
      <c r="AD3" s="12" t="s">
        <v>26</v>
      </c>
      <c r="AE3" s="13"/>
      <c r="AF3" s="13"/>
      <c r="AG3" s="13"/>
      <c r="AH3" s="13"/>
      <c r="AI3" s="14"/>
      <c r="AJ3" s="12" t="s">
        <v>27</v>
      </c>
      <c r="AK3" s="14"/>
      <c r="AL3" s="12" t="s">
        <v>28</v>
      </c>
      <c r="AM3" s="14"/>
      <c r="AN3" s="12" t="s">
        <v>29</v>
      </c>
      <c r="AO3" s="14"/>
      <c r="AP3" s="16" t="s">
        <v>30</v>
      </c>
      <c r="AQ3" s="14"/>
      <c r="AR3" s="17" t="s">
        <v>31</v>
      </c>
      <c r="AS3" s="13"/>
      <c r="AT3" s="13"/>
      <c r="AU3" s="18" t="s">
        <v>32</v>
      </c>
      <c r="AV3" s="19" t="s">
        <v>33</v>
      </c>
      <c r="AW3" s="18" t="s">
        <v>34</v>
      </c>
      <c r="AX3" s="17" t="s">
        <v>35</v>
      </c>
      <c r="AY3" s="20" t="s">
        <v>36</v>
      </c>
      <c r="AZ3" s="17" t="s">
        <v>37</v>
      </c>
      <c r="BA3" s="17" t="s">
        <v>38</v>
      </c>
      <c r="BB3" s="21" t="s">
        <v>39</v>
      </c>
      <c r="BC3" s="21" t="s">
        <v>40</v>
      </c>
      <c r="BD3" s="21" t="s">
        <v>41</v>
      </c>
      <c r="BE3" s="21" t="s">
        <v>42</v>
      </c>
      <c r="BF3" s="17" t="s">
        <v>43</v>
      </c>
      <c r="BG3" s="14"/>
      <c r="BH3" s="47" t="s">
        <v>44</v>
      </c>
      <c r="BI3" s="22" t="s">
        <v>45</v>
      </c>
    </row>
    <row r="4" ht="28" customHeight="1" spans="1:61">
      <c r="A4" s="23"/>
      <c r="B4" s="23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 t="s">
        <v>46</v>
      </c>
      <c r="Q4" s="25" t="s">
        <v>47</v>
      </c>
      <c r="R4" s="25" t="s">
        <v>48</v>
      </c>
      <c r="S4" s="25" t="s">
        <v>49</v>
      </c>
      <c r="T4" s="25" t="s">
        <v>50</v>
      </c>
      <c r="U4" s="25" t="s">
        <v>51</v>
      </c>
      <c r="V4" s="25" t="s">
        <v>52</v>
      </c>
      <c r="W4" s="25" t="s">
        <v>53</v>
      </c>
      <c r="X4" s="24"/>
      <c r="Y4" s="24"/>
      <c r="Z4" s="24"/>
      <c r="AA4" s="24"/>
      <c r="AB4" s="24"/>
      <c r="AC4" s="24"/>
      <c r="AD4" s="25" t="s">
        <v>54</v>
      </c>
      <c r="AE4" s="25" t="s">
        <v>55</v>
      </c>
      <c r="AF4" s="25" t="s">
        <v>56</v>
      </c>
      <c r="AG4" s="25" t="s">
        <v>57</v>
      </c>
      <c r="AH4" s="25" t="s">
        <v>58</v>
      </c>
      <c r="AI4" s="25" t="s">
        <v>59</v>
      </c>
      <c r="AJ4" s="25" t="s">
        <v>60</v>
      </c>
      <c r="AK4" s="25" t="s">
        <v>27</v>
      </c>
      <c r="AL4" s="25" t="s">
        <v>61</v>
      </c>
      <c r="AM4" s="25" t="s">
        <v>28</v>
      </c>
      <c r="AN4" s="25" t="s">
        <v>62</v>
      </c>
      <c r="AO4" s="25" t="s">
        <v>29</v>
      </c>
      <c r="AP4" s="26" t="s">
        <v>63</v>
      </c>
      <c r="AQ4" s="26" t="s">
        <v>30</v>
      </c>
      <c r="AR4" s="20" t="s">
        <v>64</v>
      </c>
      <c r="AS4" s="20" t="s">
        <v>65</v>
      </c>
      <c r="AT4" s="27" t="s">
        <v>66</v>
      </c>
      <c r="AU4" s="28"/>
      <c r="AV4" s="24"/>
      <c r="AW4" s="28"/>
      <c r="AX4" s="23"/>
      <c r="AY4" s="24"/>
      <c r="AZ4" s="23"/>
      <c r="BA4" s="23"/>
      <c r="BB4" s="23"/>
      <c r="BC4" s="23"/>
      <c r="BD4" s="23"/>
      <c r="BE4" s="23"/>
      <c r="BF4" s="20" t="s">
        <v>67</v>
      </c>
      <c r="BG4" s="20" t="s">
        <v>68</v>
      </c>
      <c r="BH4" s="23"/>
      <c r="BI4" s="23"/>
    </row>
    <row r="5" ht="68" customHeight="1" spans="1:61">
      <c r="A5" s="71" t="s">
        <v>69</v>
      </c>
      <c r="B5" s="29">
        <v>1</v>
      </c>
      <c r="C5" s="29" t="s">
        <v>70</v>
      </c>
      <c r="D5" s="29" t="s">
        <v>71</v>
      </c>
      <c r="E5" s="29" t="s">
        <v>71</v>
      </c>
      <c r="F5" s="74"/>
      <c r="G5" s="29">
        <v>1</v>
      </c>
      <c r="H5" s="71" t="s">
        <v>72</v>
      </c>
      <c r="I5" s="71" t="s">
        <v>73</v>
      </c>
      <c r="J5" s="75">
        <v>2023</v>
      </c>
      <c r="K5" s="75">
        <v>2023</v>
      </c>
      <c r="L5" s="72" t="s">
        <v>74</v>
      </c>
      <c r="M5" s="29"/>
      <c r="N5" s="29">
        <v>140.4</v>
      </c>
      <c r="O5" s="29"/>
      <c r="P5" s="76" t="str">
        <f>IF(AT5&gt;=0.9,AT5,"")</f>
        <v/>
      </c>
      <c r="Q5" s="76" t="str">
        <f>IF(AND(AT5&lt;0.9,AT5&gt;0.4),AT5,"")</f>
        <v/>
      </c>
      <c r="R5" s="76">
        <f>IF(AT5&lt;=0.4,AT5,"")</f>
        <v>0.1</v>
      </c>
      <c r="S5" s="77"/>
      <c r="T5" s="77" t="str">
        <f>IF(AT5&gt;=0.9,N5,"")</f>
        <v/>
      </c>
      <c r="U5" s="77"/>
      <c r="V5" s="77"/>
      <c r="W5" s="77"/>
      <c r="X5" s="77"/>
      <c r="Y5" s="77"/>
      <c r="Z5" s="77"/>
      <c r="AA5" s="29" t="s">
        <v>75</v>
      </c>
      <c r="AB5" s="29" t="s">
        <v>76</v>
      </c>
      <c r="AC5" s="10"/>
      <c r="AD5" s="77"/>
      <c r="AE5" s="77"/>
      <c r="AF5" s="77"/>
      <c r="AG5" s="77"/>
      <c r="AH5" s="77"/>
      <c r="AI5" s="77"/>
      <c r="AJ5" s="77" t="str">
        <f>IF(AT5&gt;=0.9,N5,"")</f>
        <v/>
      </c>
      <c r="AK5" s="76"/>
      <c r="AL5" s="77" t="str">
        <f>IF(AT5&gt;=0.9,N5,"")</f>
        <v/>
      </c>
      <c r="AM5" s="76"/>
      <c r="AN5" s="77" t="str">
        <f>IF(AT5&gt;=0.9,N5,"")</f>
        <v/>
      </c>
      <c r="AO5" s="76"/>
      <c r="AP5" s="77" t="str">
        <f>IF(AT5&gt;=0.9,N5,"")</f>
        <v/>
      </c>
      <c r="AQ5" s="76"/>
      <c r="AR5" s="77"/>
      <c r="AS5" s="77"/>
      <c r="AT5" s="76">
        <v>0.1</v>
      </c>
      <c r="AU5" s="78"/>
      <c r="AV5" s="74">
        <v>0</v>
      </c>
      <c r="AW5" s="79"/>
      <c r="AX5" s="77"/>
      <c r="AY5" s="77"/>
      <c r="AZ5" s="77"/>
      <c r="BA5" s="77"/>
      <c r="BB5" s="58"/>
      <c r="BC5" s="58"/>
      <c r="BD5" s="58"/>
      <c r="BE5" s="58"/>
      <c r="BF5" s="77"/>
      <c r="BG5" s="77"/>
      <c r="BH5" s="77"/>
      <c r="BI5" s="77"/>
    </row>
  </sheetData>
  <mergeCells count="45">
    <mergeCell ref="A1:AQ1"/>
    <mergeCell ref="A2:C2"/>
    <mergeCell ref="P3:R3"/>
    <mergeCell ref="S3:W3"/>
    <mergeCell ref="AD3:AI3"/>
    <mergeCell ref="AJ3:AK3"/>
    <mergeCell ref="AL3:AM3"/>
    <mergeCell ref="AN3:AO3"/>
    <mergeCell ref="AP3:AQ3"/>
    <mergeCell ref="AR3:AT3"/>
    <mergeCell ref="BF3:BG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X3:X4"/>
    <mergeCell ref="Y3:Y4"/>
    <mergeCell ref="Z3:Z4"/>
    <mergeCell ref="AA3:AA4"/>
    <mergeCell ref="AB3:AB4"/>
    <mergeCell ref="AC3:AC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H3:BH4"/>
    <mergeCell ref="BI3:BI4"/>
  </mergeCells>
  <pageMargins left="0.75" right="0.75" top="1" bottom="1" header="0.511805555555556" footer="0.511805555555556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"/>
  <sheetViews>
    <sheetView zoomScale="55" zoomScaleNormal="55" topLeftCell="S1" workbookViewId="0">
      <selection activeCell="AQ5" sqref="AQ5"/>
    </sheetView>
  </sheetViews>
  <sheetFormatPr defaultColWidth="9" defaultRowHeight="17.6" outlineLevelRow="4"/>
  <cols>
    <col min="44" max="44" width="9" style="34" customWidth="1"/>
    <col min="45" max="45" width="9" style="35" customWidth="1"/>
    <col min="50" max="53" width="8.47321428571429" style="36" customWidth="1"/>
  </cols>
  <sheetData>
    <row r="1" spans="1:57">
      <c r="A1" s="37" t="s">
        <v>77</v>
      </c>
      <c r="AW1" s="37"/>
      <c r="BB1" s="37"/>
      <c r="BC1" s="37"/>
      <c r="BD1" s="38"/>
      <c r="BE1" s="38"/>
    </row>
    <row r="2" spans="1:57">
      <c r="A2" s="39" t="s">
        <v>78</v>
      </c>
      <c r="AL2" s="40"/>
      <c r="AM2" s="41" t="s">
        <v>79</v>
      </c>
      <c r="AW2" s="41"/>
      <c r="AX2" s="42"/>
      <c r="AY2" s="42"/>
      <c r="AZ2" s="42"/>
      <c r="BA2" s="42"/>
      <c r="BB2" s="41"/>
      <c r="BC2" s="41"/>
      <c r="BD2" s="38"/>
      <c r="BE2" s="38"/>
    </row>
    <row r="3" spans="1:57">
      <c r="A3" s="43" t="s">
        <v>3</v>
      </c>
      <c r="B3" s="43" t="s">
        <v>4</v>
      </c>
      <c r="C3" s="43" t="s">
        <v>5</v>
      </c>
      <c r="D3" s="43" t="s">
        <v>6</v>
      </c>
      <c r="E3" s="43" t="s">
        <v>7</v>
      </c>
      <c r="F3" s="43" t="s">
        <v>8</v>
      </c>
      <c r="G3" s="43" t="s">
        <v>9</v>
      </c>
      <c r="H3" s="44" t="s">
        <v>10</v>
      </c>
      <c r="I3" s="44" t="s">
        <v>11</v>
      </c>
      <c r="J3" s="44" t="s">
        <v>12</v>
      </c>
      <c r="K3" s="44" t="s">
        <v>13</v>
      </c>
      <c r="L3" s="44" t="s">
        <v>14</v>
      </c>
      <c r="M3" s="44" t="s">
        <v>15</v>
      </c>
      <c r="N3" s="44" t="s">
        <v>16</v>
      </c>
      <c r="O3" s="45" t="s">
        <v>80</v>
      </c>
      <c r="P3" s="13"/>
      <c r="Q3" s="14"/>
      <c r="R3" s="45" t="s">
        <v>19</v>
      </c>
      <c r="S3" s="13"/>
      <c r="T3" s="13"/>
      <c r="U3" s="13"/>
      <c r="V3" s="14"/>
      <c r="W3" s="45" t="s">
        <v>20</v>
      </c>
      <c r="X3" s="45" t="s">
        <v>21</v>
      </c>
      <c r="Y3" s="45" t="s">
        <v>22</v>
      </c>
      <c r="Z3" s="45" t="s">
        <v>26</v>
      </c>
      <c r="AA3" s="13"/>
      <c r="AB3" s="13"/>
      <c r="AC3" s="13"/>
      <c r="AD3" s="13"/>
      <c r="AE3" s="14"/>
      <c r="AF3" s="45" t="s">
        <v>27</v>
      </c>
      <c r="AG3" s="14"/>
      <c r="AH3" s="46" t="s">
        <v>28</v>
      </c>
      <c r="AI3" s="14"/>
      <c r="AJ3" s="46" t="s">
        <v>29</v>
      </c>
      <c r="AK3" s="14"/>
      <c r="AL3" s="17" t="s">
        <v>30</v>
      </c>
      <c r="AM3" s="14"/>
      <c r="AN3" s="17" t="s">
        <v>31</v>
      </c>
      <c r="AO3" s="13"/>
      <c r="AP3" s="13"/>
      <c r="AQ3" s="18" t="s">
        <v>32</v>
      </c>
      <c r="AR3" s="43" t="s">
        <v>33</v>
      </c>
      <c r="AS3" s="18" t="s">
        <v>34</v>
      </c>
      <c r="AT3" s="17" t="s">
        <v>35</v>
      </c>
      <c r="AU3" s="17" t="s">
        <v>36</v>
      </c>
      <c r="AV3" s="17" t="s">
        <v>37</v>
      </c>
      <c r="AW3" s="17" t="s">
        <v>38</v>
      </c>
      <c r="AX3" s="21" t="s">
        <v>39</v>
      </c>
      <c r="AY3" s="21" t="s">
        <v>40</v>
      </c>
      <c r="AZ3" s="21" t="s">
        <v>41</v>
      </c>
      <c r="BA3" s="21" t="s">
        <v>42</v>
      </c>
      <c r="BB3" s="17" t="s">
        <v>43</v>
      </c>
      <c r="BC3" s="14"/>
      <c r="BD3" s="47" t="s">
        <v>44</v>
      </c>
      <c r="BE3" s="22" t="s">
        <v>45</v>
      </c>
    </row>
    <row r="4" ht="24" customHeight="1" spans="1:57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45" t="s">
        <v>46</v>
      </c>
      <c r="P4" s="45" t="s">
        <v>47</v>
      </c>
      <c r="Q4" s="45" t="s">
        <v>48</v>
      </c>
      <c r="R4" s="45" t="s">
        <v>49</v>
      </c>
      <c r="S4" s="45" t="s">
        <v>50</v>
      </c>
      <c r="T4" s="45" t="s">
        <v>51</v>
      </c>
      <c r="U4" s="45" t="s">
        <v>52</v>
      </c>
      <c r="V4" s="45" t="s">
        <v>53</v>
      </c>
      <c r="W4" s="23"/>
      <c r="X4" s="23"/>
      <c r="Y4" s="23"/>
      <c r="Z4" s="45" t="s">
        <v>54</v>
      </c>
      <c r="AA4" s="45" t="s">
        <v>55</v>
      </c>
      <c r="AB4" s="45" t="s">
        <v>56</v>
      </c>
      <c r="AC4" s="45" t="s">
        <v>57</v>
      </c>
      <c r="AD4" s="45" t="s">
        <v>58</v>
      </c>
      <c r="AE4" s="45" t="s">
        <v>59</v>
      </c>
      <c r="AF4" s="45" t="s">
        <v>60</v>
      </c>
      <c r="AG4" s="45" t="s">
        <v>27</v>
      </c>
      <c r="AH4" s="45" t="s">
        <v>61</v>
      </c>
      <c r="AI4" s="45" t="s">
        <v>28</v>
      </c>
      <c r="AJ4" s="45" t="s">
        <v>62</v>
      </c>
      <c r="AK4" s="45" t="s">
        <v>29</v>
      </c>
      <c r="AL4" s="17" t="s">
        <v>63</v>
      </c>
      <c r="AM4" s="17" t="s">
        <v>30</v>
      </c>
      <c r="AN4" s="17" t="s">
        <v>64</v>
      </c>
      <c r="AO4" s="17" t="s">
        <v>65</v>
      </c>
      <c r="AP4" s="48" t="s">
        <v>66</v>
      </c>
      <c r="AQ4" s="49"/>
      <c r="AR4" s="23"/>
      <c r="AS4" s="49"/>
      <c r="AT4" s="23"/>
      <c r="AU4" s="23"/>
      <c r="AV4" s="23"/>
      <c r="AW4" s="23"/>
      <c r="AX4" s="23"/>
      <c r="AY4" s="23"/>
      <c r="AZ4" s="23"/>
      <c r="BA4" s="23"/>
      <c r="BB4" s="17" t="s">
        <v>67</v>
      </c>
      <c r="BC4" s="17" t="s">
        <v>68</v>
      </c>
      <c r="BD4" s="23"/>
      <c r="BE4" s="23"/>
    </row>
    <row r="5" ht="48" customHeight="1" spans="1:57">
      <c r="A5" s="43" t="s">
        <v>69</v>
      </c>
      <c r="B5" s="43">
        <v>1</v>
      </c>
      <c r="C5" s="50" t="s">
        <v>70</v>
      </c>
      <c r="D5" s="50" t="s">
        <v>71</v>
      </c>
      <c r="E5" s="50" t="s">
        <v>81</v>
      </c>
      <c r="F5" s="43"/>
      <c r="G5" s="51">
        <v>1</v>
      </c>
      <c r="H5" s="44" t="s">
        <v>72</v>
      </c>
      <c r="I5" s="52" t="s">
        <v>73</v>
      </c>
      <c r="J5" s="44">
        <v>2023</v>
      </c>
      <c r="K5" s="44">
        <v>2023</v>
      </c>
      <c r="L5" s="44" t="s">
        <v>82</v>
      </c>
      <c r="M5" s="53" t="s">
        <v>83</v>
      </c>
      <c r="N5" s="53">
        <v>21</v>
      </c>
      <c r="O5" s="54">
        <f>IF(AP5&gt;=0.9,AP5,"")</f>
        <v>0.91</v>
      </c>
      <c r="P5" s="54" t="str">
        <f>IF(AND(AP5&lt;0.9,AP5&gt;0.4),AP5,"")</f>
        <v/>
      </c>
      <c r="Q5" s="54" t="str">
        <f>IF(AP5&lt;=0.4,AP5,"")</f>
        <v/>
      </c>
      <c r="R5" s="45"/>
      <c r="S5" s="45">
        <f>IF(AP5&gt;=0.9,N5,"")</f>
        <v>21</v>
      </c>
      <c r="T5" s="45"/>
      <c r="U5" s="45"/>
      <c r="V5" s="45"/>
      <c r="W5" s="45"/>
      <c r="X5" s="45"/>
      <c r="Y5" s="45"/>
      <c r="Z5" s="45" t="s">
        <v>84</v>
      </c>
      <c r="AA5" s="45" t="s">
        <v>84</v>
      </c>
      <c r="AB5" s="45" t="s">
        <v>84</v>
      </c>
      <c r="AC5" s="45" t="s">
        <v>84</v>
      </c>
      <c r="AD5" s="45" t="s">
        <v>84</v>
      </c>
      <c r="AE5" s="45" t="s">
        <v>84</v>
      </c>
      <c r="AF5" s="45">
        <f>IF(AP5&gt;=0.9,N5,"")</f>
        <v>21</v>
      </c>
      <c r="AG5" s="54"/>
      <c r="AH5" s="45">
        <f>IF(AP5&gt;=0.9,N5,"")</f>
        <v>21</v>
      </c>
      <c r="AI5" s="54"/>
      <c r="AJ5" s="45"/>
      <c r="AK5" s="54"/>
      <c r="AL5" s="17">
        <f>IF(AP5&gt;=0.9,N5,"")</f>
        <v>21</v>
      </c>
      <c r="AM5" s="55"/>
      <c r="AN5" s="17"/>
      <c r="AO5" s="17"/>
      <c r="AP5" s="55">
        <v>0.91</v>
      </c>
      <c r="AQ5" s="56"/>
      <c r="AR5" s="43">
        <v>2329</v>
      </c>
      <c r="AS5" s="57"/>
      <c r="AT5" s="17"/>
      <c r="AU5" s="17"/>
      <c r="AV5" s="17"/>
      <c r="AW5" s="17"/>
      <c r="AX5" s="58"/>
      <c r="AY5" s="58"/>
      <c r="AZ5" s="58"/>
      <c r="BA5" s="58"/>
      <c r="BB5" s="17"/>
      <c r="BC5" s="17"/>
      <c r="BD5" s="59"/>
      <c r="BE5" s="59"/>
    </row>
  </sheetData>
  <mergeCells count="42">
    <mergeCell ref="A1:AV1"/>
    <mergeCell ref="A2:AK2"/>
    <mergeCell ref="AM2:AV2"/>
    <mergeCell ref="O3:Q3"/>
    <mergeCell ref="R3:V3"/>
    <mergeCell ref="Z3:AE3"/>
    <mergeCell ref="AF3:AG3"/>
    <mergeCell ref="AH3:AI3"/>
    <mergeCell ref="AJ3:AK3"/>
    <mergeCell ref="AL3:AM3"/>
    <mergeCell ref="AN3:AP3"/>
    <mergeCell ref="BB3:BC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W3:W4"/>
    <mergeCell ref="X3:X4"/>
    <mergeCell ref="Y3:Y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D3:BD4"/>
    <mergeCell ref="BE3:BE4"/>
  </mergeCells>
  <pageMargins left="0.75" right="0.75" top="1" bottom="1" header="0.511805555555556" footer="0.511805555555556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5"/>
  <sheetViews>
    <sheetView zoomScale="70" zoomScaleNormal="70" topLeftCell="X1" workbookViewId="0">
      <selection activeCell="BH5" sqref="BH5"/>
    </sheetView>
  </sheetViews>
  <sheetFormatPr defaultColWidth="8.47321428571429" defaultRowHeight="21.95" customHeight="1" outlineLevelRow="4"/>
  <cols>
    <col min="1" max="2" width="5.75" style="3" customWidth="1"/>
    <col min="3" max="3" width="5" style="3" customWidth="1"/>
    <col min="4" max="4" width="6.5" style="3" customWidth="1"/>
    <col min="5" max="5" width="5" style="3" customWidth="1"/>
    <col min="6" max="6" width="4.08928571428571" style="3" customWidth="1"/>
    <col min="7" max="7" width="4.25892857142857" style="3" customWidth="1"/>
    <col min="8" max="8" width="15.5089285714286" style="3" customWidth="1"/>
    <col min="9" max="10" width="4.32142857142857" style="3" customWidth="1"/>
    <col min="11" max="11" width="3.5" style="3" customWidth="1"/>
    <col min="12" max="12" width="6.5" style="3" customWidth="1"/>
    <col min="13" max="13" width="3.5" style="3" customWidth="1"/>
    <col min="14" max="14" width="10.3660714285714" style="3" customWidth="1"/>
    <col min="15" max="15" width="3.5" style="3" customWidth="1"/>
    <col min="16" max="16" width="13.6875" style="3" customWidth="1"/>
    <col min="17" max="17" width="9.65178571428571" style="3" customWidth="1"/>
    <col min="18" max="18" width="5.625" style="3" customWidth="1"/>
    <col min="19" max="20" width="5.82142857142857" style="3" customWidth="1"/>
    <col min="21" max="28" width="5.82142857142857" style="1" customWidth="1"/>
    <col min="29" max="29" width="4.69642857142857" style="1" customWidth="1"/>
    <col min="30" max="30" width="5.82142857142857" style="1" customWidth="1"/>
    <col min="31" max="31" width="5.25892857142857" style="1" customWidth="1"/>
    <col min="32" max="32" width="7.3125" style="3" customWidth="1"/>
    <col min="33" max="33" width="6.5" style="3" customWidth="1"/>
    <col min="34" max="34" width="6.5" style="1" customWidth="1"/>
    <col min="35" max="35" width="4.58928571428571" style="3" customWidth="1"/>
    <col min="36" max="41" width="2.94642857142857" style="1" customWidth="1"/>
    <col min="42" max="42" width="4.25" style="1" customWidth="1"/>
    <col min="43" max="48" width="3.65178571428571" style="1" customWidth="1"/>
    <col min="49" max="49" width="5.53571428571429" style="1" customWidth="1"/>
    <col min="50" max="50" width="4.5625" style="1" customWidth="1"/>
    <col min="51" max="60" width="3.65178571428571" style="1" customWidth="1"/>
    <col min="61" max="61" width="6.15178571428571" style="3" customWidth="1"/>
    <col min="62" max="62" width="7.65178571428571" style="4" customWidth="1"/>
    <col min="63" max="63" width="7.00892857142857" style="1" customWidth="1"/>
    <col min="64" max="64" width="5.74107142857143" style="1" customWidth="1"/>
    <col min="65" max="65" width="7.88392857142857" style="1" customWidth="1"/>
    <col min="66" max="16384" width="8.47321428571429" style="1" customWidth="1"/>
  </cols>
  <sheetData>
    <row r="1" s="1" customFormat="1" ht="20.4" spans="1:74">
      <c r="A1" s="5" t="s">
        <v>85</v>
      </c>
      <c r="BJ1" s="4"/>
    </row>
    <row r="2" s="2" customFormat="1" ht="13.6" spans="1:74">
      <c r="A2" s="6" t="s">
        <v>86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AF2" s="7"/>
      <c r="AG2" s="7"/>
      <c r="AI2" s="7"/>
      <c r="AM2" s="8" t="s">
        <v>87</v>
      </c>
      <c r="BJ2" s="9"/>
    </row>
    <row r="3" s="2" customFormat="1" ht="44" customHeight="1" spans="1:74">
      <c r="A3" s="10" t="s">
        <v>3</v>
      </c>
      <c r="B3" s="11" t="s">
        <v>4</v>
      </c>
      <c r="C3" s="10" t="s">
        <v>5</v>
      </c>
      <c r="D3" s="10" t="s">
        <v>6</v>
      </c>
      <c r="E3" s="10" t="s">
        <v>7</v>
      </c>
      <c r="F3" s="10" t="s">
        <v>9</v>
      </c>
      <c r="G3" s="11" t="s">
        <v>10</v>
      </c>
      <c r="H3" s="11" t="s">
        <v>11</v>
      </c>
      <c r="I3" s="10" t="s">
        <v>12</v>
      </c>
      <c r="J3" s="10" t="s">
        <v>88</v>
      </c>
      <c r="K3" s="10" t="s">
        <v>14</v>
      </c>
      <c r="L3" s="10" t="s">
        <v>89</v>
      </c>
      <c r="M3" s="10" t="s">
        <v>90</v>
      </c>
      <c r="N3" s="10" t="s">
        <v>91</v>
      </c>
      <c r="O3" s="10" t="s">
        <v>92</v>
      </c>
      <c r="P3" s="10" t="s">
        <v>93</v>
      </c>
      <c r="Q3" s="10" t="s">
        <v>94</v>
      </c>
      <c r="R3" s="11" t="s">
        <v>15</v>
      </c>
      <c r="S3" s="10" t="s">
        <v>16</v>
      </c>
      <c r="T3" s="11" t="s">
        <v>17</v>
      </c>
      <c r="U3" s="12" t="s">
        <v>18</v>
      </c>
      <c r="V3" s="13"/>
      <c r="W3" s="14"/>
      <c r="X3" s="12" t="s">
        <v>19</v>
      </c>
      <c r="Y3" s="13"/>
      <c r="Z3" s="13"/>
      <c r="AA3" s="13"/>
      <c r="AB3" s="14"/>
      <c r="AC3" s="12" t="s">
        <v>20</v>
      </c>
      <c r="AD3" s="12" t="s">
        <v>21</v>
      </c>
      <c r="AE3" s="12" t="s">
        <v>22</v>
      </c>
      <c r="AF3" s="10" t="s">
        <v>95</v>
      </c>
      <c r="AG3" s="10" t="s">
        <v>96</v>
      </c>
      <c r="AH3" s="12" t="s">
        <v>97</v>
      </c>
      <c r="AI3" s="10" t="s">
        <v>98</v>
      </c>
      <c r="AJ3" s="12" t="s">
        <v>99</v>
      </c>
      <c r="AK3" s="13"/>
      <c r="AL3" s="14"/>
      <c r="AM3" s="12" t="s">
        <v>100</v>
      </c>
      <c r="AN3" s="13"/>
      <c r="AO3" s="14"/>
      <c r="AP3" s="12" t="s">
        <v>101</v>
      </c>
      <c r="AQ3" s="12" t="s">
        <v>26</v>
      </c>
      <c r="AR3" s="13"/>
      <c r="AS3" s="13"/>
      <c r="AT3" s="13"/>
      <c r="AU3" s="13"/>
      <c r="AV3" s="14"/>
      <c r="AW3" s="12" t="s">
        <v>27</v>
      </c>
      <c r="AX3" s="14"/>
      <c r="AY3" s="15" t="s">
        <v>28</v>
      </c>
      <c r="AZ3" s="14"/>
      <c r="BA3" s="15" t="s">
        <v>29</v>
      </c>
      <c r="BB3" s="14"/>
      <c r="BC3" s="16" t="s">
        <v>30</v>
      </c>
      <c r="BD3" s="14"/>
      <c r="BE3" s="17" t="s">
        <v>31</v>
      </c>
      <c r="BF3" s="13"/>
      <c r="BG3" s="13"/>
      <c r="BH3" s="18" t="s">
        <v>32</v>
      </c>
      <c r="BI3" s="19" t="s">
        <v>33</v>
      </c>
      <c r="BJ3" s="18" t="s">
        <v>34</v>
      </c>
      <c r="BK3" s="17" t="s">
        <v>35</v>
      </c>
      <c r="BL3" s="20" t="s">
        <v>36</v>
      </c>
      <c r="BM3" s="17" t="s">
        <v>37</v>
      </c>
      <c r="BN3" s="17" t="s">
        <v>38</v>
      </c>
      <c r="BO3" s="21" t="s">
        <v>39</v>
      </c>
      <c r="BP3" s="21" t="s">
        <v>40</v>
      </c>
      <c r="BQ3" s="21" t="s">
        <v>41</v>
      </c>
      <c r="BR3" s="21" t="s">
        <v>42</v>
      </c>
      <c r="BS3" s="17" t="s">
        <v>43</v>
      </c>
      <c r="BT3" s="14"/>
      <c r="BU3" s="22" t="s">
        <v>44</v>
      </c>
      <c r="BV3" s="22" t="s">
        <v>45</v>
      </c>
    </row>
    <row r="4" s="2" customFormat="1" ht="46" customHeight="1" spans="1:74">
      <c r="A4" s="23"/>
      <c r="B4" s="24"/>
      <c r="C4" s="23"/>
      <c r="D4" s="23"/>
      <c r="E4" s="23"/>
      <c r="F4" s="23"/>
      <c r="G4" s="24"/>
      <c r="H4" s="24"/>
      <c r="I4" s="23"/>
      <c r="J4" s="23"/>
      <c r="K4" s="23"/>
      <c r="L4" s="23"/>
      <c r="M4" s="23"/>
      <c r="N4" s="23"/>
      <c r="O4" s="23"/>
      <c r="P4" s="23"/>
      <c r="Q4" s="23"/>
      <c r="R4" s="24"/>
      <c r="S4" s="23"/>
      <c r="T4" s="24"/>
      <c r="U4" s="25" t="s">
        <v>46</v>
      </c>
      <c r="V4" s="25" t="s">
        <v>47</v>
      </c>
      <c r="W4" s="25" t="s">
        <v>48</v>
      </c>
      <c r="X4" s="25" t="s">
        <v>49</v>
      </c>
      <c r="Y4" s="25" t="s">
        <v>50</v>
      </c>
      <c r="Z4" s="25" t="s">
        <v>51</v>
      </c>
      <c r="AA4" s="25" t="s">
        <v>52</v>
      </c>
      <c r="AB4" s="25" t="s">
        <v>53</v>
      </c>
      <c r="AC4" s="23"/>
      <c r="AD4" s="23"/>
      <c r="AE4" s="23"/>
      <c r="AF4" s="23"/>
      <c r="AG4" s="23"/>
      <c r="AH4" s="23"/>
      <c r="AI4" s="23"/>
      <c r="AJ4" s="25" t="s">
        <v>102</v>
      </c>
      <c r="AK4" s="25" t="s">
        <v>103</v>
      </c>
      <c r="AL4" s="25" t="s">
        <v>104</v>
      </c>
      <c r="AM4" s="25" t="s">
        <v>102</v>
      </c>
      <c r="AN4" s="25" t="s">
        <v>103</v>
      </c>
      <c r="AO4" s="25" t="s">
        <v>104</v>
      </c>
      <c r="AP4" s="23"/>
      <c r="AQ4" s="25" t="s">
        <v>54</v>
      </c>
      <c r="AR4" s="25" t="s">
        <v>55</v>
      </c>
      <c r="AS4" s="25" t="s">
        <v>56</v>
      </c>
      <c r="AT4" s="25" t="s">
        <v>57</v>
      </c>
      <c r="AU4" s="25" t="s">
        <v>58</v>
      </c>
      <c r="AV4" s="25" t="s">
        <v>59</v>
      </c>
      <c r="AW4" s="25" t="s">
        <v>60</v>
      </c>
      <c r="AX4" s="25" t="s">
        <v>27</v>
      </c>
      <c r="AY4" s="25" t="s">
        <v>61</v>
      </c>
      <c r="AZ4" s="25" t="s">
        <v>28</v>
      </c>
      <c r="BA4" s="25" t="s">
        <v>62</v>
      </c>
      <c r="BB4" s="25" t="s">
        <v>29</v>
      </c>
      <c r="BC4" s="26" t="s">
        <v>63</v>
      </c>
      <c r="BD4" s="26" t="s">
        <v>30</v>
      </c>
      <c r="BE4" s="20" t="s">
        <v>64</v>
      </c>
      <c r="BF4" s="20" t="s">
        <v>65</v>
      </c>
      <c r="BG4" s="27" t="s">
        <v>66</v>
      </c>
      <c r="BH4" s="28"/>
      <c r="BI4" s="24"/>
      <c r="BJ4" s="28"/>
      <c r="BK4" s="23"/>
      <c r="BL4" s="24"/>
      <c r="BM4" s="23"/>
      <c r="BN4" s="23"/>
      <c r="BO4" s="23"/>
      <c r="BP4" s="23"/>
      <c r="BQ4" s="23"/>
      <c r="BR4" s="23"/>
      <c r="BS4" s="20" t="s">
        <v>67</v>
      </c>
      <c r="BT4" s="20" t="s">
        <v>68</v>
      </c>
      <c r="BU4" s="23"/>
      <c r="BV4" s="23"/>
    </row>
    <row r="5" s="2" customFormat="1" ht="38" customHeight="1" spans="1:74">
      <c r="A5" s="10" t="s">
        <v>69</v>
      </c>
      <c r="B5" s="29">
        <v>1</v>
      </c>
      <c r="C5" s="29" t="s">
        <v>105</v>
      </c>
      <c r="D5" s="29" t="s">
        <v>106</v>
      </c>
      <c r="E5" s="29" t="s">
        <v>107</v>
      </c>
      <c r="F5" s="29">
        <v>3</v>
      </c>
      <c r="G5" s="10" t="s">
        <v>72</v>
      </c>
      <c r="H5" s="10" t="s">
        <v>73</v>
      </c>
      <c r="I5" s="10">
        <v>2023</v>
      </c>
      <c r="J5" s="10">
        <v>2023</v>
      </c>
      <c r="K5" s="10" t="s">
        <v>82</v>
      </c>
      <c r="L5" s="29" t="s">
        <v>108</v>
      </c>
      <c r="M5" s="10">
        <v>5</v>
      </c>
      <c r="N5" s="29" t="s">
        <v>109</v>
      </c>
      <c r="O5" s="29" t="s">
        <v>110</v>
      </c>
      <c r="P5" s="29" t="s">
        <v>111</v>
      </c>
      <c r="Q5" s="29" t="s">
        <v>112</v>
      </c>
      <c r="R5" s="29" t="s">
        <v>113</v>
      </c>
      <c r="S5" s="29">
        <v>96.6</v>
      </c>
      <c r="T5" s="29">
        <v>96.6</v>
      </c>
      <c r="U5" s="30">
        <f>IF(BG5&gt;=0.9,BG5,"")</f>
        <v>0.9</v>
      </c>
      <c r="V5" s="30" t="str">
        <f>IF(AND(BG5&lt;0.9,BG5&gt;0.4),BG5,"")</f>
        <v/>
      </c>
      <c r="W5" s="30" t="str">
        <f>IF(BG5&lt;=0.4,BG5,"")</f>
        <v/>
      </c>
      <c r="X5" s="12"/>
      <c r="Y5" s="12">
        <f>IF(BG5&gt;=0.9,S5,"")</f>
        <v>96.6</v>
      </c>
      <c r="Z5" s="12"/>
      <c r="AA5" s="12"/>
      <c r="AB5" s="12"/>
      <c r="AC5" s="12"/>
      <c r="AD5" s="12"/>
      <c r="AE5" s="12"/>
      <c r="AF5" s="29" t="s">
        <v>114</v>
      </c>
      <c r="AG5" s="29" t="s">
        <v>108</v>
      </c>
      <c r="AH5" s="12"/>
      <c r="AI5" s="29">
        <v>0.35</v>
      </c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>
        <f>IF(BG5&gt;=0.9,S5,"")</f>
        <v>96.6</v>
      </c>
      <c r="AX5" s="31"/>
      <c r="AY5" s="12">
        <f>IF(BG5&gt;=0.9,S5,"")</f>
        <v>96.6</v>
      </c>
      <c r="AZ5" s="31"/>
      <c r="BA5" s="12"/>
      <c r="BB5" s="31"/>
      <c r="BC5" s="16">
        <f>IF(BG5&gt;=0.9,S5,"")</f>
        <v>96.6</v>
      </c>
      <c r="BD5" s="30"/>
      <c r="BE5" s="16"/>
      <c r="BF5" s="16"/>
      <c r="BG5" s="30">
        <v>0.9</v>
      </c>
      <c r="BH5" s="32"/>
      <c r="BI5" s="29">
        <v>966</v>
      </c>
      <c r="BJ5" s="33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</row>
  </sheetData>
  <mergeCells count="55">
    <mergeCell ref="A1:BM1"/>
    <mergeCell ref="A2:C2"/>
    <mergeCell ref="AM2:BM2"/>
    <mergeCell ref="U3:W3"/>
    <mergeCell ref="X3:AB3"/>
    <mergeCell ref="AJ3:AL3"/>
    <mergeCell ref="AM3:AO3"/>
    <mergeCell ref="AQ3:AV3"/>
    <mergeCell ref="AW3:AX3"/>
    <mergeCell ref="AY3:AZ3"/>
    <mergeCell ref="BA3:BB3"/>
    <mergeCell ref="BC3:BD3"/>
    <mergeCell ref="BE3:BG3"/>
    <mergeCell ref="BS3:BT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C3:AC4"/>
    <mergeCell ref="AD3:AD4"/>
    <mergeCell ref="AE3:AE4"/>
    <mergeCell ref="AF3:AF4"/>
    <mergeCell ref="AG3:AG4"/>
    <mergeCell ref="AH3:AH4"/>
    <mergeCell ref="AI3:AI4"/>
    <mergeCell ref="AP3:AP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U3:BU4"/>
    <mergeCell ref="BV3:BV4"/>
  </mergeCells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2023年度退化林</vt:lpstr>
      <vt:lpstr>2023年度人工造林</vt:lpstr>
      <vt:lpstr>2023年度封山育林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陶小淘</cp:lastModifiedBy>
  <dcterms:created xsi:type="dcterms:W3CDTF">2023-05-15T19:23:00Z</dcterms:created>
  <dcterms:modified xsi:type="dcterms:W3CDTF">2026-09-05T12:37:52Z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ICV">
    <vt:lpwstr>53DC02B162110BBD3654866A2A15E8B0_43</vt:lpwstr>
  </property>
  <property fmtid="{D5CDD505-2E9C-101B-9397-08002B2CF9AE}" pid="4" name="CalculationRule">
    <vt:i4>0</vt:i4>
  </property>
</Properties>
</file>